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gvaedu-my.sharepoint.com/personal/josmorrom3_alu_edu_gva_es/Documents/1º DAW/PROYECTO INTERMODULAR/TERCER SPRINT/SIS/"/>
    </mc:Choice>
  </mc:AlternateContent>
  <xr:revisionPtr revIDLastSave="54" documentId="11_AD4D2F04E46CFB4ACB3E20493556C31A683EDF21" xr6:coauthVersionLast="47" xr6:coauthVersionMax="47" xr10:uidLastSave="{4FCFE2E0-319C-45E9-A2B1-3FE752E68D0A}"/>
  <bookViews>
    <workbookView xWindow="-120" yWindow="-120" windowWidth="29040" windowHeight="15840" xr2:uid="{00000000-000D-0000-FFFF-FFFF00000000}"/>
  </bookViews>
  <sheets>
    <sheet name="PRESUPUESTO" sheetId="4" r:id="rId1"/>
    <sheet name="ESTIMACION TEMPORAL" sheetId="5" r:id="rId2"/>
    <sheet name="Gestión de recursos y seguridad" sheetId="3" r:id="rId3"/>
    <sheet name="Diseño Logic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5" l="1"/>
  <c r="D38" i="5"/>
  <c r="C38" i="5"/>
  <c r="F37" i="5"/>
  <c r="F36" i="5"/>
  <c r="F34" i="5"/>
  <c r="F33" i="5"/>
  <c r="F32" i="5"/>
  <c r="F31" i="5"/>
  <c r="F30" i="5"/>
  <c r="F28" i="5"/>
  <c r="F27" i="5"/>
  <c r="F26" i="5"/>
  <c r="F25" i="5"/>
  <c r="F24" i="5"/>
  <c r="F23" i="5"/>
  <c r="F21" i="5"/>
  <c r="F20" i="5"/>
  <c r="F19" i="5"/>
  <c r="F18" i="5"/>
  <c r="F17" i="5"/>
  <c r="F16" i="5"/>
  <c r="F15" i="5"/>
  <c r="F13" i="5"/>
  <c r="F12" i="5"/>
  <c r="F11" i="5"/>
  <c r="F10" i="5"/>
  <c r="F8" i="5"/>
  <c r="F7" i="5"/>
  <c r="F5" i="5"/>
  <c r="F4" i="5"/>
  <c r="F38" i="5" s="1"/>
  <c r="F16" i="4"/>
  <c r="F11" i="4"/>
  <c r="L10" i="4"/>
  <c r="F10" i="4"/>
  <c r="L9" i="4"/>
  <c r="L8" i="4"/>
  <c r="F8" i="4"/>
  <c r="L7" i="4"/>
  <c r="F7" i="4"/>
  <c r="F6" i="4"/>
  <c r="L5" i="4"/>
  <c r="F5" i="4"/>
  <c r="L4" i="4"/>
  <c r="F4" i="4"/>
  <c r="F9" i="4" s="1"/>
  <c r="C18" i="4" s="1"/>
  <c r="M7" i="4" l="1"/>
  <c r="N7" i="4" s="1"/>
  <c r="M8" i="4"/>
  <c r="N8" i="4" s="1"/>
  <c r="M4" i="4"/>
  <c r="N4" i="4" s="1"/>
  <c r="M9" i="4"/>
  <c r="N9" i="4" s="1"/>
  <c r="M10" i="4"/>
  <c r="N10" i="4" s="1"/>
  <c r="M5" i="4"/>
  <c r="N5" i="4" s="1"/>
  <c r="J1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tc={3181B301-1507-4512-AD8C-29C7DFD06FD1}</author>
  </authors>
  <commentList>
    <comment ref="B3" authorId="0" shapeId="0" xr:uid="{3181B301-1507-4512-AD8C-29C7DFD06FD1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añadir horas/días </t>
      </text>
    </comment>
  </commentList>
</comments>
</file>

<file path=xl/sharedStrings.xml><?xml version="1.0" encoding="utf-8"?>
<sst xmlns="http://schemas.openxmlformats.org/spreadsheetml/2006/main" count="154" uniqueCount="133">
  <si>
    <t>974 €/año</t>
  </si>
  <si>
    <t>TOTAL ADICIONAL</t>
  </si>
  <si>
    <t>600 €/año</t>
  </si>
  <si>
    <t>12,50 €/anual/usuario</t>
  </si>
  <si>
    <t>4 usuarios</t>
  </si>
  <si>
    <t>Microsoft 365 Business Standard</t>
  </si>
  <si>
    <t>Microsoft 365 Business Standard (correo, OneDrive, 2FA)</t>
  </si>
  <si>
    <t>144 €/año</t>
  </si>
  <si>
    <t>3 €/mes/usuario</t>
  </si>
  <si>
    <t>Bitwarden Teams (anual)</t>
  </si>
  <si>
    <t>Gestor de contraseñas (equipo)</t>
  </si>
  <si>
    <t>1 unidad</t>
  </si>
  <si>
    <t>Seagate Backup Plus Portable 2TB</t>
  </si>
  <si>
    <t>Disco duro externo (backup local)</t>
  </si>
  <si>
    <t>160 €/año</t>
  </si>
  <si>
    <t>40 €/año</t>
  </si>
  <si>
    <t>4 licencias</t>
  </si>
  <si>
    <t>Malwarebytes Teams (anual)</t>
  </si>
  <si>
    <t>Antivirus/Antimalware empresarial</t>
  </si>
  <si>
    <t>Subtotal aprox.</t>
  </si>
  <si>
    <t>Precio aprox.</t>
  </si>
  <si>
    <t>Cantidad</t>
  </si>
  <si>
    <t>Modelo/Servicios</t>
  </si>
  <si>
    <t>Componente</t>
  </si>
  <si>
    <t>Presupuesto de gestión de recursos y seguridad de la empresa</t>
  </si>
  <si>
    <t>INFRAESTRUCTURA DE LA EMPRESA</t>
  </si>
  <si>
    <t>POSIBLES SUBCONTRATACIONES</t>
  </si>
  <si>
    <t>Categoría/Tipo</t>
  </si>
  <si>
    <t>Elemento</t>
  </si>
  <si>
    <t>Precio Unidad (€)</t>
  </si>
  <si>
    <t>Precio Total (€)</t>
  </si>
  <si>
    <t>Proveedor</t>
  </si>
  <si>
    <t>Rol</t>
  </si>
  <si>
    <t>Salario Bruto</t>
  </si>
  <si>
    <t>Duracion (Meses)</t>
  </si>
  <si>
    <t>Salario total</t>
  </si>
  <si>
    <t>Cotización</t>
  </si>
  <si>
    <t>Coste total</t>
  </si>
  <si>
    <t>Hardware</t>
  </si>
  <si>
    <t>Portátil (i5/8GB/512GB)</t>
  </si>
  <si>
    <t>PcComponentes</t>
  </si>
  <si>
    <t>Developer</t>
  </si>
  <si>
    <t>NAS Synology DS224+</t>
  </si>
  <si>
    <t>Amazon.es</t>
  </si>
  <si>
    <t>Aten. Cliente</t>
  </si>
  <si>
    <t>Impresora HP Color LaserJet Pro</t>
  </si>
  <si>
    <t>MediaMarkt</t>
  </si>
  <si>
    <t>MIEMBROS DEL EQUIPO</t>
  </si>
  <si>
    <t>Pantalla 24" FHD</t>
  </si>
  <si>
    <t>Miem. Equip 1</t>
  </si>
  <si>
    <t>Kit teclado/ratón inalámbrico</t>
  </si>
  <si>
    <t>Miem. Equip 2</t>
  </si>
  <si>
    <t>Coste total de hardware</t>
  </si>
  <si>
    <t>Miem. Equip 3</t>
  </si>
  <si>
    <t>Software</t>
  </si>
  <si>
    <t>Windows 11 Pro OEM</t>
  </si>
  <si>
    <t>Microsoft/PCComponentes</t>
  </si>
  <si>
    <t>Miem. Equip 4</t>
  </si>
  <si>
    <t>Coste total de software (único)</t>
  </si>
  <si>
    <t>Servicios</t>
  </si>
  <si>
    <t>Microsoft 365 Business Standard (anual, 4 users)</t>
  </si>
  <si>
    <t>12,50 (user/mes)</t>
  </si>
  <si>
    <t>-</t>
  </si>
  <si>
    <t>Microsoft</t>
  </si>
  <si>
    <t>Total</t>
  </si>
  <si>
    <t>ESET Protect Essential (anual, 4 users)</t>
  </si>
  <si>
    <t>25 (user)</t>
  </si>
  <si>
    <t>ESET</t>
  </si>
  <si>
    <t>Dominio .es (primer año)</t>
  </si>
  <si>
    <t>Hostinger</t>
  </si>
  <si>
    <t>VPS Hosting (anual)</t>
  </si>
  <si>
    <t>5 (mes)</t>
  </si>
  <si>
    <t>Coste anual de servicios</t>
  </si>
  <si>
    <t>ESTIMACIÓN TEMPORAL (EN DÍAS)</t>
  </si>
  <si>
    <t>Est. Optimista</t>
  </si>
  <si>
    <t>Est. Probable</t>
  </si>
  <si>
    <t>Est. Pesimista</t>
  </si>
  <si>
    <t>Est. Beta</t>
  </si>
  <si>
    <t>1: INICIO DEL PROYECTO</t>
  </si>
  <si>
    <t>1.1: Concepción de las ideas básicas subyacentes en el proyecto</t>
  </si>
  <si>
    <t>1.2: Establecimiento de objetivos concretos</t>
  </si>
  <si>
    <t>2: ESTADO DEL ARTE</t>
  </si>
  <si>
    <t>2.1: Estudio de aplicaciones webs de índole similar (bases de datos cinematográficas online con y sin sistemas de recomendación)</t>
  </si>
  <si>
    <t>2.2: Estudio de técnicas y algoritmos de sistemas de recomendación</t>
  </si>
  <si>
    <t>3: ANÁLISIS DEL SISTEMA</t>
  </si>
  <si>
    <t>3.1: Análisis de requisitos y especificación del sistema de aplicación web</t>
  </si>
  <si>
    <t>3.2: Realización de diagramas de casos de uso</t>
  </si>
  <si>
    <t>3.3: Desarrollo del modelo de datos</t>
  </si>
  <si>
    <t>3.4: Planificación temporal y estimación económica</t>
  </si>
  <si>
    <t>4: DISEÑO DEL SISTEMA</t>
  </si>
  <si>
    <t>4.1: Selección de tecnologías y plataformas</t>
  </si>
  <si>
    <t>4.2: Diagramas de clase y de secuencia</t>
  </si>
  <si>
    <t>4.3: Arquitectura general del sistema</t>
  </si>
  <si>
    <t>4.4: Diseño de la base de datos</t>
  </si>
  <si>
    <t>4.5: Diseño de la interfaz web</t>
  </si>
  <si>
    <t>4.6: Diseño de los algoritmos de recomendación</t>
  </si>
  <si>
    <t>4.7: Diseño de pruebas</t>
  </si>
  <si>
    <t>5: IMPLEMENTACIÓN DEL SISTEMA</t>
  </si>
  <si>
    <t>5.1: Preparación del entorno de desarrollo</t>
  </si>
  <si>
    <t>5.2: Implementación de la base de datos</t>
  </si>
  <si>
    <t>5.2: Codificación del diseño web</t>
  </si>
  <si>
    <t>5.3: Programación de los algoritmos del sistema de recomendación</t>
  </si>
  <si>
    <t>5.4: Configuración del servidor web</t>
  </si>
  <si>
    <t>5.5: Integración de los distintos elementos</t>
  </si>
  <si>
    <t>6: PRUEBAS</t>
  </si>
  <si>
    <t>6.1: Preparación del entorno de pruebas</t>
  </si>
  <si>
    <t>6.2: Importación de datasets ajenos con información de películas y keywords</t>
  </si>
  <si>
    <t>6.2: Pruebas de rendimiento de la base de datos</t>
  </si>
  <si>
    <t>6.3: Pruebas de usabilidad del sitio web</t>
  </si>
  <si>
    <t>6.4: Pruebas de eficacia del sistema de recomendaciones</t>
  </si>
  <si>
    <t>7: DOCUMENTACIÓN</t>
  </si>
  <si>
    <t>7.1: Documentación del código fuente</t>
  </si>
  <si>
    <t>7.2: Redacción de la memoria del proyecto</t>
  </si>
  <si>
    <t>TOTAL</t>
  </si>
  <si>
    <t>Beta = (opt + 4*prob + pes) / 6</t>
  </si>
  <si>
    <t>Modelo Seleccionado</t>
  </si>
  <si>
    <t>Precio unitario aprox.</t>
  </si>
  <si>
    <t>Enlace de compra (Amazon.es / PcComponentes)</t>
  </si>
  <si>
    <t>Router WiFi Gigabit con 8 puertos LAN</t>
  </si>
  <si>
    <t>TP-Link Archer AX6000 (WiFi 6 Tri-Band AX6000, 8× Gigabit LAN, 1× 2.5G WAN, MU-MIMO, HomeShield)</t>
  </si>
  <si>
    <t>180 - 220 €</t>
  </si>
  <si>
    <t>Amazon.es - TP-Link Archer AX6000</t>
  </si>
  <si>
    <t>Switch Ethernet Gigabit 8 puertos</t>
  </si>
  <si>
    <t>TP-Link TL-SG108 (8 puertos Gigabit, unmanaged, carcasa metálica, Plug &amp; Play)</t>
  </si>
  <si>
    <t>20 - 25 €</t>
  </si>
  <si>
    <t>PcComponentes - TP-Link TL-SG108 o Amazon.es - TP-Link TL-SG108</t>
  </si>
  <si>
    <t>Cable Ethernet Cat6 de 10 metros</t>
  </si>
  <si>
    <t>Nixsto o Vention Cat6 UTP 10m (RJ45, alta velocidad Gigabit, plano o estándar)</t>
  </si>
  <si>
    <t>10 - 13 € por cable</t>
  </si>
  <si>
    <t>Amazon.es - Nixsto Cable Ethernet Cat6 10m (elige el de 10m; similar Vention o Equip en la misma búsqueda)</t>
  </si>
  <si>
    <t>Total estimado</t>
  </si>
  <si>
    <t>—</t>
  </si>
  <si>
    <t>Presupuesto estimado Diseño logico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</si>
</sst>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44" formatCode="_-* #,##0.00\ &quot;€&quot;_-;\-* #,##0.00\ &quot;€&quot;_-;_-* &quot;-&quot;??\ &quot;€&quot;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3F3F3F"/>
      <name val="Calibri"/>
      <scheme val="minor"/>
    </font>
    <font>
      <b/>
      <i/>
      <u/>
      <sz val="10"/>
      <name val="Arial"/>
      <family val="2"/>
      <charset val="1"/>
    </font>
    <font>
      <b/>
      <sz val="10"/>
      <name val="Arial"/>
      <family val="2"/>
      <charset val="1"/>
    </font>
    <font>
      <sz val="9"/>
      <color indexed="81"/>
      <name val="Tahoma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3300"/>
      </patternFill>
    </fill>
    <fill>
      <patternFill patternType="solid">
        <fgColor rgb="FFF2F2F2"/>
        <bgColor indexed="64"/>
      </patternFill>
    </fill>
  </fills>
  <borders count="2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hair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hair">
        <color indexed="64"/>
      </left>
      <right style="hair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hair">
        <color indexed="64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0" borderId="0"/>
    <xf numFmtId="44" fontId="5" fillId="0" borderId="0" applyBorder="0" applyAlignment="0" applyProtection="0"/>
    <xf numFmtId="0" fontId="4" fillId="0" borderId="0"/>
    <xf numFmtId="44" fontId="5" fillId="0" borderId="0" applyBorder="0" applyAlignment="0" applyProtection="0"/>
    <xf numFmtId="0" fontId="6" fillId="2" borderId="1" applyNumberFormat="0" applyAlignment="0" applyProtection="0"/>
    <xf numFmtId="0" fontId="12" fillId="0" borderId="0" applyNumberFormat="0" applyFill="0" applyBorder="0" applyAlignment="0" applyProtection="0"/>
  </cellStyleXfs>
  <cellXfs count="74">
    <xf numFmtId="0" fontId="0" fillId="0" borderId="0" xfId="0"/>
    <xf numFmtId="0" fontId="3" fillId="4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44" fontId="0" fillId="0" borderId="2" xfId="1" applyFont="1" applyBorder="1" applyAlignment="1">
      <alignment horizontal="right" vertical="center" wrapText="1"/>
    </xf>
    <xf numFmtId="44" fontId="0" fillId="0" borderId="2" xfId="1" applyFont="1" applyBorder="1" applyAlignment="1">
      <alignment vertical="center" wrapText="1"/>
    </xf>
    <xf numFmtId="0" fontId="0" fillId="0" borderId="2" xfId="0" applyBorder="1"/>
    <xf numFmtId="44" fontId="0" fillId="0" borderId="2" xfId="1" applyFont="1" applyBorder="1" applyAlignment="1">
      <alignment horizontal="right"/>
    </xf>
    <xf numFmtId="2" fontId="0" fillId="0" borderId="2" xfId="1" applyNumberFormat="1" applyFont="1" applyBorder="1" applyAlignment="1">
      <alignment horizontal="right"/>
    </xf>
    <xf numFmtId="44" fontId="0" fillId="0" borderId="2" xfId="1" applyFont="1" applyBorder="1"/>
    <xf numFmtId="44" fontId="0" fillId="0" borderId="2" xfId="0" applyNumberFormat="1" applyBorder="1"/>
    <xf numFmtId="2" fontId="0" fillId="0" borderId="2" xfId="1" applyNumberFormat="1" applyFont="1" applyBorder="1"/>
    <xf numFmtId="0" fontId="6" fillId="2" borderId="1" xfId="7" applyAlignment="1">
      <alignment vertical="center" wrapText="1"/>
    </xf>
    <xf numFmtId="44" fontId="6" fillId="2" borderId="1" xfId="7" applyNumberFormat="1" applyAlignment="1">
      <alignment horizontal="right" vertical="center" wrapText="1"/>
    </xf>
    <xf numFmtId="44" fontId="6" fillId="2" borderId="1" xfId="7" applyNumberFormat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0" fontId="3" fillId="5" borderId="2" xfId="0" applyFont="1" applyFill="1" applyBorder="1"/>
    <xf numFmtId="44" fontId="0" fillId="5" borderId="2" xfId="0" applyNumberFormat="1" applyFill="1" applyBorder="1"/>
    <xf numFmtId="0" fontId="3" fillId="6" borderId="2" xfId="0" applyFont="1" applyFill="1" applyBorder="1" applyAlignment="1">
      <alignment vertical="center" wrapText="1"/>
    </xf>
    <xf numFmtId="44" fontId="3" fillId="6" borderId="2" xfId="0" applyNumberFormat="1" applyFont="1" applyFill="1" applyBorder="1"/>
    <xf numFmtId="0" fontId="8" fillId="0" borderId="7" xfId="0" applyFont="1" applyBorder="1"/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0" borderId="11" xfId="0" applyBorder="1"/>
    <xf numFmtId="0" fontId="0" fillId="0" borderId="8" xfId="0" applyBorder="1"/>
    <xf numFmtId="0" fontId="0" fillId="0" borderId="9" xfId="0" applyBorder="1"/>
    <xf numFmtId="2" fontId="0" fillId="0" borderId="10" xfId="0" applyNumberFormat="1" applyBorder="1"/>
    <xf numFmtId="0" fontId="0" fillId="0" borderId="11" xfId="0" applyBorder="1" applyAlignment="1">
      <alignment horizontal="justify"/>
    </xf>
    <xf numFmtId="0" fontId="8" fillId="0" borderId="11" xfId="0" applyFont="1" applyBorder="1" applyAlignment="1">
      <alignment horizontal="justify"/>
    </xf>
    <xf numFmtId="2" fontId="0" fillId="7" borderId="10" xfId="0" applyNumberFormat="1" applyFill="1" applyBorder="1"/>
    <xf numFmtId="0" fontId="0" fillId="0" borderId="12" xfId="0" applyBorder="1"/>
    <xf numFmtId="0" fontId="0" fillId="0" borderId="13" xfId="0" applyBorder="1"/>
    <xf numFmtId="2" fontId="0" fillId="0" borderId="14" xfId="0" applyNumberFormat="1" applyBorder="1"/>
    <xf numFmtId="0" fontId="8" fillId="0" borderId="15" xfId="0" applyFont="1" applyBorder="1" applyAlignment="1">
      <alignment horizontal="justify"/>
    </xf>
    <xf numFmtId="0" fontId="0" fillId="7" borderId="16" xfId="0" applyFill="1" applyBorder="1"/>
    <xf numFmtId="0" fontId="0" fillId="7" borderId="17" xfId="0" applyFill="1" applyBorder="1"/>
    <xf numFmtId="0" fontId="0" fillId="7" borderId="18" xfId="0" applyFill="1" applyBorder="1"/>
    <xf numFmtId="2" fontId="0" fillId="7" borderId="19" xfId="0" applyNumberFormat="1" applyFill="1" applyBorder="1"/>
    <xf numFmtId="0" fontId="0" fillId="0" borderId="4" xfId="0" applyBorder="1"/>
    <xf numFmtId="0" fontId="0" fillId="0" borderId="5" xfId="0" applyBorder="1"/>
    <xf numFmtId="2" fontId="0" fillId="0" borderId="6" xfId="0" applyNumberFormat="1" applyBorder="1"/>
    <xf numFmtId="0" fontId="0" fillId="0" borderId="20" xfId="0" applyBorder="1" applyAlignment="1">
      <alignment horizontal="justify"/>
    </xf>
    <xf numFmtId="0" fontId="0" fillId="0" borderId="21" xfId="0" applyBorder="1"/>
    <xf numFmtId="0" fontId="0" fillId="0" borderId="22" xfId="0" applyBorder="1"/>
    <xf numFmtId="0" fontId="8" fillId="0" borderId="23" xfId="0" applyFont="1" applyBorder="1"/>
    <xf numFmtId="0" fontId="0" fillId="0" borderId="24" xfId="0" applyBorder="1"/>
    <xf numFmtId="2" fontId="0" fillId="0" borderId="24" xfId="0" applyNumberFormat="1" applyBorder="1"/>
    <xf numFmtId="0" fontId="8" fillId="0" borderId="0" xfId="0" applyFont="1"/>
    <xf numFmtId="0" fontId="7" fillId="4" borderId="3" xfId="0" applyFont="1" applyFill="1" applyBorder="1"/>
    <xf numFmtId="0" fontId="8" fillId="4" borderId="4" xfId="0" applyFont="1" applyFill="1" applyBorder="1"/>
    <xf numFmtId="0" fontId="8" fillId="4" borderId="5" xfId="0" applyFont="1" applyFill="1" applyBorder="1"/>
    <xf numFmtId="0" fontId="8" fillId="4" borderId="6" xfId="0" applyFont="1" applyFill="1" applyBorder="1"/>
    <xf numFmtId="0" fontId="10" fillId="4" borderId="25" xfId="0" applyFont="1" applyFill="1" applyBorder="1" applyAlignment="1">
      <alignment vertical="center" wrapText="1"/>
    </xf>
    <xf numFmtId="0" fontId="10" fillId="4" borderId="26" xfId="0" applyFont="1" applyFill="1" applyBorder="1" applyAlignment="1">
      <alignment vertical="center" wrapText="1"/>
    </xf>
    <xf numFmtId="0" fontId="11" fillId="8" borderId="28" xfId="0" applyFont="1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6" fontId="11" fillId="8" borderId="28" xfId="0" applyNumberFormat="1" applyFont="1" applyFill="1" applyBorder="1" applyAlignment="1">
      <alignment horizontal="center" vertical="center" wrapText="1"/>
    </xf>
    <xf numFmtId="6" fontId="0" fillId="0" borderId="28" xfId="0" applyNumberFormat="1" applyBorder="1" applyAlignment="1">
      <alignment horizontal="center" vertical="center" wrapText="1"/>
    </xf>
    <xf numFmtId="6" fontId="3" fillId="0" borderId="28" xfId="0" applyNumberFormat="1" applyFont="1" applyBorder="1" applyAlignment="1">
      <alignment horizontal="center" vertical="center" wrapText="1"/>
    </xf>
    <xf numFmtId="0" fontId="10" fillId="8" borderId="27" xfId="0" applyFont="1" applyFill="1" applyBorder="1" applyAlignment="1">
      <alignment horizontal="center" vertical="center" wrapText="1"/>
    </xf>
    <xf numFmtId="0" fontId="12" fillId="8" borderId="28" xfId="8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/>
    </xf>
    <xf numFmtId="0" fontId="14" fillId="4" borderId="2" xfId="5" applyFont="1" applyFill="1" applyBorder="1" applyAlignment="1">
      <alignment horizontal="center"/>
    </xf>
    <xf numFmtId="0" fontId="15" fillId="0" borderId="0" xfId="5" applyFont="1"/>
    <xf numFmtId="0" fontId="14" fillId="3" borderId="2" xfId="5" applyFont="1" applyFill="1" applyBorder="1" applyAlignment="1">
      <alignment horizontal="center" vertical="center" wrapText="1"/>
    </xf>
    <xf numFmtId="0" fontId="15" fillId="0" borderId="2" xfId="5" applyFont="1" applyBorder="1" applyAlignment="1">
      <alignment horizontal="center" vertical="center" wrapText="1"/>
    </xf>
    <xf numFmtId="44" fontId="13" fillId="0" borderId="2" xfId="6" applyFont="1" applyBorder="1" applyAlignment="1">
      <alignment horizontal="center" vertical="center" wrapText="1"/>
    </xf>
    <xf numFmtId="44" fontId="15" fillId="0" borderId="2" xfId="5" applyNumberFormat="1" applyFont="1" applyBorder="1" applyAlignment="1">
      <alignment horizontal="center" vertical="center" wrapText="1"/>
    </xf>
    <xf numFmtId="6" fontId="13" fillId="0" borderId="2" xfId="6" applyNumberFormat="1" applyFont="1" applyBorder="1" applyAlignment="1">
      <alignment horizontal="center" vertical="center" wrapText="1"/>
    </xf>
    <xf numFmtId="6" fontId="15" fillId="0" borderId="2" xfId="5" applyNumberFormat="1" applyFont="1" applyBorder="1" applyAlignment="1">
      <alignment horizontal="center" vertical="center" wrapText="1"/>
    </xf>
    <xf numFmtId="0" fontId="16" fillId="2" borderId="1" xfId="2" applyFont="1" applyAlignment="1">
      <alignment horizontal="center" vertical="center" wrapText="1"/>
    </xf>
    <xf numFmtId="44" fontId="16" fillId="2" borderId="1" xfId="2" applyNumberFormat="1" applyFont="1" applyAlignment="1">
      <alignment horizontal="center" vertical="center" wrapText="1"/>
    </xf>
  </cellXfs>
  <cellStyles count="9">
    <cellStyle name="Hipervínculo" xfId="8" builtinId="8"/>
    <cellStyle name="Moneda" xfId="1" builtinId="4"/>
    <cellStyle name="Moneda 2" xfId="4" xr:uid="{A0033677-4CD7-4DFC-AD29-7FE3B28DEAA3}"/>
    <cellStyle name="Moneda 2 2" xfId="6" xr:uid="{3BCF452E-6D33-44CE-841F-74BDDCA77091}"/>
    <cellStyle name="Normal" xfId="0" builtinId="0"/>
    <cellStyle name="Normal 2" xfId="3" xr:uid="{3E651230-D838-43BF-89E4-5B62C169D099}"/>
    <cellStyle name="Normal 2 2" xfId="5" xr:uid="{92DE4E96-7E68-43BC-A303-EE490CDF60D9}"/>
    <cellStyle name="Salida" xfId="2" builtinId="21"/>
    <cellStyle name="Salida 2" xfId="7" xr:uid="{007722F9-2259-44CD-B7D7-38423BA94985}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"/>
        <scheme val="none"/>
      </font>
      <fill>
        <patternFill patternType="solid">
          <fgColor indexed="64"/>
          <bgColor rgb="FF00B0F0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numFmt numFmtId="2" formatCode="0.00"/>
      <border diagonalUp="0" diagonalDown="0">
        <left style="hair">
          <color indexed="64"/>
        </left>
        <right style="medium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justify" vertical="bottom" textRotation="0" wrapText="0" indent="0" justifyLastLine="0" shrinkToFit="0" readingOrder="0"/>
      <border diagonalUp="0" diagonalDown="0">
        <left/>
        <right style="hair">
          <color indexed="64"/>
        </right>
        <top style="thin">
          <color indexed="64"/>
        </top>
        <bottom style="medium">
          <color indexed="64"/>
        </bottom>
        <vertical/>
        <horizontal/>
      </border>
    </dxf>
    <dxf>
      <border outline="0">
        <left style="medium">
          <color indexed="64"/>
        </lef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FAEVA, MELISA" id="{58C557B0-0EDF-45C1-987A-55639C1AEF2E}" userId="S::melvaf@alu.edu.gva.es::e2278ead-4b39-4fa8-aee2-21f04fc3be16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F2EB25-57BD-4BDA-BD00-6FA5FE766146}" name="Tabla2" displayName="Tabla2" ref="B2:F38" totalsRowShown="0" headerRowDxfId="0" tableBorderDxfId="3">
  <autoFilter ref="B2:F38" xr:uid="{530C42CD-C913-47B2-A350-10845D109B38}"/>
  <tableColumns count="5">
    <tableColumn id="1" xr3:uid="{0C1BCF80-AF49-45D5-A539-9CD93F9B105D}" name="ESTIMACIÓN TEMPORAL (EN DÍAS)" dataDxfId="2"/>
    <tableColumn id="2" xr3:uid="{8C64CB26-7C0E-402D-AFC3-327D943FCFAD}" name="Est. Optimista"/>
    <tableColumn id="3" xr3:uid="{F4692CCB-FBB7-49D8-90B6-C19CEF518ED8}" name="Est. Probable"/>
    <tableColumn id="4" xr3:uid="{62F09F5A-9F68-40A4-A072-93E45D5F984A}" name="Est. Pesimista"/>
    <tableColumn id="5" xr3:uid="{E5FF3B61-1C95-4BC9-B5C0-35D3B62A63F7}" name="Est. Beta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11-21T22:00:26.46" personId="{58C557B0-0EDF-45C1-987A-55639C1AEF2E}" id="{3181B301-1507-4512-AD8C-29C7DFD06FD1}">
    <text xml:space="preserve">añadir horas/días 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mazon.es/Ethernet-Velocidad-Internet-conector-Compatible/dp/B09X2MK5YM" TargetMode="External"/><Relationship Id="rId1" Type="http://schemas.openxmlformats.org/officeDocument/2006/relationships/hyperlink" Target="https://www.amazon.es/TP-Link-Archer-AX6000-Quad-Core-co-procesadores/dp/B07PXTG7R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5F71-6660-4581-A466-FE2616946ACD}">
  <sheetPr>
    <pageSetUpPr fitToPage="1"/>
  </sheetPr>
  <dimension ref="B2:N18"/>
  <sheetViews>
    <sheetView tabSelected="1" workbookViewId="0">
      <selection activeCell="C25" sqref="C25"/>
    </sheetView>
  </sheetViews>
  <sheetFormatPr baseColWidth="10" defaultColWidth="11.42578125" defaultRowHeight="15" x14ac:dyDescent="0.25"/>
  <cols>
    <col min="2" max="2" width="29.28515625" bestFit="1" customWidth="1"/>
    <col min="3" max="3" width="44.7109375" bestFit="1" customWidth="1"/>
    <col min="4" max="4" width="17.7109375" bestFit="1" customWidth="1"/>
    <col min="6" max="6" width="14.42578125" bestFit="1" customWidth="1"/>
    <col min="7" max="7" width="24.7109375" bestFit="1" customWidth="1"/>
    <col min="9" max="9" width="13.28515625" bestFit="1" customWidth="1"/>
    <col min="10" max="10" width="13.28515625" customWidth="1"/>
    <col min="11" max="12" width="17" bestFit="1" customWidth="1"/>
    <col min="13" max="13" width="11" bestFit="1" customWidth="1"/>
    <col min="14" max="14" width="12" bestFit="1" customWidth="1"/>
  </cols>
  <sheetData>
    <row r="2" spans="2:14" x14ac:dyDescent="0.25">
      <c r="B2" s="1" t="s">
        <v>25</v>
      </c>
      <c r="C2" s="1"/>
      <c r="D2" s="1"/>
      <c r="E2" s="1"/>
      <c r="F2" s="1"/>
      <c r="G2" s="1"/>
      <c r="I2" s="1" t="s">
        <v>26</v>
      </c>
      <c r="J2" s="1"/>
      <c r="K2" s="1"/>
      <c r="L2" s="1"/>
      <c r="M2" s="1"/>
      <c r="N2" s="1"/>
    </row>
    <row r="3" spans="2:14" x14ac:dyDescent="0.25">
      <c r="B3" s="2" t="s">
        <v>27</v>
      </c>
      <c r="C3" s="2" t="s">
        <v>28</v>
      </c>
      <c r="D3" s="2" t="s">
        <v>29</v>
      </c>
      <c r="E3" s="2" t="s">
        <v>21</v>
      </c>
      <c r="F3" s="2" t="s">
        <v>30</v>
      </c>
      <c r="G3" s="2" t="s">
        <v>31</v>
      </c>
      <c r="I3" s="2" t="s">
        <v>32</v>
      </c>
      <c r="J3" s="2" t="s">
        <v>33</v>
      </c>
      <c r="K3" s="2" t="s">
        <v>34</v>
      </c>
      <c r="L3" s="2" t="s">
        <v>35</v>
      </c>
      <c r="M3" s="2" t="s">
        <v>36</v>
      </c>
      <c r="N3" s="2" t="s">
        <v>37</v>
      </c>
    </row>
    <row r="4" spans="2:14" x14ac:dyDescent="0.25">
      <c r="B4" s="3" t="s">
        <v>38</v>
      </c>
      <c r="C4" s="3" t="s">
        <v>39</v>
      </c>
      <c r="D4" s="4">
        <v>399</v>
      </c>
      <c r="E4" s="3">
        <v>4</v>
      </c>
      <c r="F4" s="5">
        <f>D4*E4</f>
        <v>1596</v>
      </c>
      <c r="G4" s="3" t="s">
        <v>40</v>
      </c>
      <c r="I4" s="6" t="s">
        <v>41</v>
      </c>
      <c r="J4" s="7">
        <v>3000</v>
      </c>
      <c r="K4" s="8">
        <v>2.83</v>
      </c>
      <c r="L4" s="9">
        <f>J4*K4</f>
        <v>8490</v>
      </c>
      <c r="M4" s="9">
        <f>L4*0.32</f>
        <v>2716.8</v>
      </c>
      <c r="N4" s="10">
        <f>L4+M4</f>
        <v>11206.8</v>
      </c>
    </row>
    <row r="5" spans="2:14" x14ac:dyDescent="0.25">
      <c r="B5" s="3" t="s">
        <v>38</v>
      </c>
      <c r="C5" s="3" t="s">
        <v>42</v>
      </c>
      <c r="D5" s="4">
        <v>320</v>
      </c>
      <c r="E5" s="3">
        <v>1</v>
      </c>
      <c r="F5" s="5">
        <f>D5*E5</f>
        <v>320</v>
      </c>
      <c r="G5" s="3" t="s">
        <v>43</v>
      </c>
      <c r="I5" s="6" t="s">
        <v>44</v>
      </c>
      <c r="J5" s="9">
        <v>1800</v>
      </c>
      <c r="K5" s="11">
        <v>2.83</v>
      </c>
      <c r="L5" s="9">
        <f>J5*K5</f>
        <v>5094</v>
      </c>
      <c r="M5" s="9">
        <f>L5*0.32</f>
        <v>1630.08</v>
      </c>
      <c r="N5" s="10">
        <f>L5+M5</f>
        <v>6724.08</v>
      </c>
    </row>
    <row r="6" spans="2:14" x14ac:dyDescent="0.25">
      <c r="B6" s="3" t="s">
        <v>38</v>
      </c>
      <c r="C6" s="3" t="s">
        <v>45</v>
      </c>
      <c r="D6" s="4">
        <v>330</v>
      </c>
      <c r="E6" s="3">
        <v>1</v>
      </c>
      <c r="F6" s="5">
        <f>D6*E6</f>
        <v>330</v>
      </c>
      <c r="G6" s="3" t="s">
        <v>46</v>
      </c>
      <c r="I6" s="1" t="s">
        <v>47</v>
      </c>
      <c r="J6" s="1"/>
      <c r="K6" s="1"/>
      <c r="L6" s="1"/>
      <c r="M6" s="1"/>
      <c r="N6" s="1"/>
    </row>
    <row r="7" spans="2:14" x14ac:dyDescent="0.25">
      <c r="B7" s="3" t="s">
        <v>38</v>
      </c>
      <c r="C7" s="3" t="s">
        <v>48</v>
      </c>
      <c r="D7" s="4">
        <v>90</v>
      </c>
      <c r="E7" s="3">
        <v>8</v>
      </c>
      <c r="F7" s="5">
        <f>D7*E7</f>
        <v>720</v>
      </c>
      <c r="G7" s="3" t="s">
        <v>40</v>
      </c>
      <c r="I7" s="6" t="s">
        <v>49</v>
      </c>
      <c r="J7" s="9">
        <v>1184</v>
      </c>
      <c r="K7" s="11">
        <v>2.83</v>
      </c>
      <c r="L7" s="9">
        <f>J7*K7</f>
        <v>3350.7200000000003</v>
      </c>
      <c r="M7" s="9">
        <f>L7*0.32</f>
        <v>1072.2304000000001</v>
      </c>
      <c r="N7" s="9">
        <f>L7+M7</f>
        <v>4422.9504000000006</v>
      </c>
    </row>
    <row r="8" spans="2:14" x14ac:dyDescent="0.25">
      <c r="B8" s="3" t="s">
        <v>38</v>
      </c>
      <c r="C8" s="3" t="s">
        <v>50</v>
      </c>
      <c r="D8" s="4">
        <v>25</v>
      </c>
      <c r="E8" s="3">
        <v>4</v>
      </c>
      <c r="F8" s="5">
        <f>D8*E8</f>
        <v>100</v>
      </c>
      <c r="G8" s="3" t="s">
        <v>43</v>
      </c>
      <c r="I8" s="6" t="s">
        <v>51</v>
      </c>
      <c r="J8" s="9">
        <v>1184</v>
      </c>
      <c r="K8" s="11">
        <v>2.83</v>
      </c>
      <c r="L8" s="9">
        <f t="shared" ref="L8:L10" si="0">J8*K8</f>
        <v>3350.7200000000003</v>
      </c>
      <c r="M8" s="9">
        <f t="shared" ref="M8:M10" si="1">L8*0.32</f>
        <v>1072.2304000000001</v>
      </c>
      <c r="N8" s="9">
        <f t="shared" ref="N8:N10" si="2">L8+M8</f>
        <v>4422.9504000000006</v>
      </c>
    </row>
    <row r="9" spans="2:14" x14ac:dyDescent="0.25">
      <c r="B9" s="12" t="s">
        <v>52</v>
      </c>
      <c r="C9" s="12"/>
      <c r="D9" s="13"/>
      <c r="E9" s="12"/>
      <c r="F9" s="14">
        <f>SUM(F4:F8)</f>
        <v>3066</v>
      </c>
      <c r="G9" s="12"/>
      <c r="I9" s="6" t="s">
        <v>53</v>
      </c>
      <c r="J9" s="9">
        <v>1184</v>
      </c>
      <c r="K9" s="11">
        <v>2.83</v>
      </c>
      <c r="L9" s="9">
        <f t="shared" si="0"/>
        <v>3350.7200000000003</v>
      </c>
      <c r="M9" s="9">
        <f t="shared" si="1"/>
        <v>1072.2304000000001</v>
      </c>
      <c r="N9" s="9">
        <f t="shared" si="2"/>
        <v>4422.9504000000006</v>
      </c>
    </row>
    <row r="10" spans="2:14" ht="30" x14ac:dyDescent="0.25">
      <c r="B10" s="3" t="s">
        <v>54</v>
      </c>
      <c r="C10" s="3" t="s">
        <v>55</v>
      </c>
      <c r="D10" s="4">
        <v>139</v>
      </c>
      <c r="E10" s="3">
        <v>4</v>
      </c>
      <c r="F10" s="5">
        <f>D10*E10</f>
        <v>556</v>
      </c>
      <c r="G10" s="3" t="s">
        <v>56</v>
      </c>
      <c r="I10" s="6" t="s">
        <v>57</v>
      </c>
      <c r="J10" s="9">
        <v>1184</v>
      </c>
      <c r="K10" s="11">
        <v>2.83</v>
      </c>
      <c r="L10" s="9">
        <f t="shared" si="0"/>
        <v>3350.7200000000003</v>
      </c>
      <c r="M10" s="9">
        <f t="shared" si="1"/>
        <v>1072.2304000000001</v>
      </c>
      <c r="N10" s="9">
        <f t="shared" si="2"/>
        <v>4422.9504000000006</v>
      </c>
    </row>
    <row r="11" spans="2:14" x14ac:dyDescent="0.25">
      <c r="B11" s="12" t="s">
        <v>58</v>
      </c>
      <c r="C11" s="12"/>
      <c r="D11" s="13"/>
      <c r="E11" s="12"/>
      <c r="F11" s="14">
        <f>SUM(F10)</f>
        <v>556</v>
      </c>
      <c r="G11" s="12"/>
    </row>
    <row r="12" spans="2:14" x14ac:dyDescent="0.25">
      <c r="B12" s="3" t="s">
        <v>59</v>
      </c>
      <c r="C12" s="3" t="s">
        <v>60</v>
      </c>
      <c r="D12" s="4" t="s">
        <v>61</v>
      </c>
      <c r="E12" s="15" t="s">
        <v>62</v>
      </c>
      <c r="F12" s="5">
        <v>600</v>
      </c>
      <c r="G12" s="3" t="s">
        <v>63</v>
      </c>
      <c r="I12" s="16" t="s">
        <v>64</v>
      </c>
      <c r="J12" s="17">
        <f>SUM(N4:N10)</f>
        <v>35622.681600000004</v>
      </c>
    </row>
    <row r="13" spans="2:14" x14ac:dyDescent="0.25">
      <c r="B13" s="3" t="s">
        <v>59</v>
      </c>
      <c r="C13" s="3" t="s">
        <v>65</v>
      </c>
      <c r="D13" s="4" t="s">
        <v>66</v>
      </c>
      <c r="E13" s="15" t="s">
        <v>62</v>
      </c>
      <c r="F13" s="5">
        <v>100</v>
      </c>
      <c r="G13" s="3" t="s">
        <v>67</v>
      </c>
    </row>
    <row r="14" spans="2:14" ht="15" customHeight="1" x14ac:dyDescent="0.25">
      <c r="B14" s="3" t="s">
        <v>59</v>
      </c>
      <c r="C14" s="3" t="s">
        <v>68</v>
      </c>
      <c r="D14" s="4">
        <v>6</v>
      </c>
      <c r="E14" s="3">
        <v>1</v>
      </c>
      <c r="F14" s="5">
        <v>6</v>
      </c>
      <c r="G14" s="3" t="s">
        <v>69</v>
      </c>
    </row>
    <row r="15" spans="2:14" x14ac:dyDescent="0.25">
      <c r="B15" s="3" t="s">
        <v>59</v>
      </c>
      <c r="C15" s="3" t="s">
        <v>70</v>
      </c>
      <c r="D15" s="4" t="s">
        <v>71</v>
      </c>
      <c r="E15" s="15" t="s">
        <v>62</v>
      </c>
      <c r="F15" s="5">
        <v>60</v>
      </c>
      <c r="G15" s="3" t="s">
        <v>69</v>
      </c>
    </row>
    <row r="16" spans="2:14" x14ac:dyDescent="0.25">
      <c r="B16" s="12" t="s">
        <v>72</v>
      </c>
      <c r="C16" s="12"/>
      <c r="D16" s="14"/>
      <c r="E16" s="12"/>
      <c r="F16" s="14">
        <f>SUM(F12:F15)</f>
        <v>766</v>
      </c>
      <c r="G16" s="12"/>
    </row>
    <row r="18" spans="2:3" x14ac:dyDescent="0.25">
      <c r="B18" s="18" t="s">
        <v>37</v>
      </c>
      <c r="C18" s="19">
        <f>F9+F11+F16</f>
        <v>4388</v>
      </c>
    </row>
  </sheetData>
  <mergeCells count="3">
    <mergeCell ref="B2:G2"/>
    <mergeCell ref="I2:N2"/>
    <mergeCell ref="I6:N6"/>
  </mergeCells>
  <pageMargins left="0.7" right="0.7" top="0.75" bottom="0.75" header="0.3" footer="0.3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AC1A3-2BD3-4C15-8F63-7D73FE63397D}">
  <sheetPr>
    <pageSetUpPr fitToPage="1"/>
  </sheetPr>
  <dimension ref="B2:F40"/>
  <sheetViews>
    <sheetView zoomScale="85" zoomScaleNormal="85" workbookViewId="0">
      <selection activeCell="J14" sqref="J14"/>
    </sheetView>
  </sheetViews>
  <sheetFormatPr baseColWidth="10" defaultColWidth="11.42578125" defaultRowHeight="15" x14ac:dyDescent="0.25"/>
  <cols>
    <col min="2" max="2" width="63.42578125" customWidth="1"/>
    <col min="3" max="3" width="16" bestFit="1" customWidth="1"/>
    <col min="4" max="4" width="15.28515625" bestFit="1" customWidth="1"/>
    <col min="5" max="5" width="16.140625" bestFit="1" customWidth="1"/>
    <col min="6" max="6" width="11.7109375" bestFit="1" customWidth="1"/>
  </cols>
  <sheetData>
    <row r="2" spans="2:6" ht="15.75" thickBot="1" x14ac:dyDescent="0.3">
      <c r="B2" s="49" t="s">
        <v>73</v>
      </c>
      <c r="C2" s="50" t="s">
        <v>74</v>
      </c>
      <c r="D2" s="51" t="s">
        <v>75</v>
      </c>
      <c r="E2" s="51" t="s">
        <v>76</v>
      </c>
      <c r="F2" s="52" t="s">
        <v>77</v>
      </c>
    </row>
    <row r="3" spans="2:6" x14ac:dyDescent="0.25">
      <c r="B3" s="20" t="s">
        <v>78</v>
      </c>
      <c r="C3" s="21"/>
      <c r="D3" s="22"/>
      <c r="E3" s="22"/>
      <c r="F3" s="23"/>
    </row>
    <row r="4" spans="2:6" x14ac:dyDescent="0.25">
      <c r="B4" s="24" t="s">
        <v>79</v>
      </c>
      <c r="C4" s="25">
        <v>1</v>
      </c>
      <c r="D4" s="26">
        <v>2</v>
      </c>
      <c r="E4" s="26">
        <v>4</v>
      </c>
      <c r="F4" s="27">
        <f>(C4+D4*4+E4)/6</f>
        <v>2.1666666666666665</v>
      </c>
    </row>
    <row r="5" spans="2:6" x14ac:dyDescent="0.25">
      <c r="B5" s="28" t="s">
        <v>80</v>
      </c>
      <c r="C5" s="25">
        <v>1</v>
      </c>
      <c r="D5" s="26">
        <v>3</v>
      </c>
      <c r="E5" s="26">
        <v>4</v>
      </c>
      <c r="F5" s="27">
        <f>(C5+D5*4+E5)/6</f>
        <v>2.8333333333333335</v>
      </c>
    </row>
    <row r="6" spans="2:6" x14ac:dyDescent="0.25">
      <c r="B6" s="29" t="s">
        <v>81</v>
      </c>
      <c r="C6" s="21"/>
      <c r="D6" s="22"/>
      <c r="E6" s="22"/>
      <c r="F6" s="30"/>
    </row>
    <row r="7" spans="2:6" ht="30" x14ac:dyDescent="0.25">
      <c r="B7" s="28" t="s">
        <v>82</v>
      </c>
      <c r="C7" s="25">
        <v>1</v>
      </c>
      <c r="D7" s="26">
        <v>1</v>
      </c>
      <c r="E7" s="26">
        <v>2</v>
      </c>
      <c r="F7" s="27">
        <f>(C7+D7*4+E7)/6</f>
        <v>1.1666666666666667</v>
      </c>
    </row>
    <row r="8" spans="2:6" x14ac:dyDescent="0.25">
      <c r="B8" s="28" t="s">
        <v>83</v>
      </c>
      <c r="C8" s="31">
        <v>1</v>
      </c>
      <c r="D8" s="32">
        <v>2</v>
      </c>
      <c r="E8" s="32">
        <v>3</v>
      </c>
      <c r="F8" s="33">
        <f>(C8+D8*4+E8)/6</f>
        <v>2</v>
      </c>
    </row>
    <row r="9" spans="2:6" x14ac:dyDescent="0.25">
      <c r="B9" s="34" t="s">
        <v>84</v>
      </c>
      <c r="C9" s="35"/>
      <c r="D9" s="36"/>
      <c r="E9" s="37"/>
      <c r="F9" s="38"/>
    </row>
    <row r="10" spans="2:6" ht="15" customHeight="1" x14ac:dyDescent="0.25">
      <c r="B10" s="28" t="s">
        <v>85</v>
      </c>
      <c r="C10" s="39">
        <v>2</v>
      </c>
      <c r="D10" s="40">
        <v>3</v>
      </c>
      <c r="E10" s="40">
        <v>5</v>
      </c>
      <c r="F10" s="41">
        <f>(C10+D10*4+E10)/6</f>
        <v>3.1666666666666665</v>
      </c>
    </row>
    <row r="11" spans="2:6" x14ac:dyDescent="0.25">
      <c r="B11" s="28" t="s">
        <v>86</v>
      </c>
      <c r="C11" s="25">
        <v>3</v>
      </c>
      <c r="D11" s="26">
        <v>4</v>
      </c>
      <c r="E11" s="26">
        <v>6</v>
      </c>
      <c r="F11" s="27">
        <f>(C11+D11*4+E11)/6</f>
        <v>4.166666666666667</v>
      </c>
    </row>
    <row r="12" spans="2:6" x14ac:dyDescent="0.25">
      <c r="B12" s="28" t="s">
        <v>87</v>
      </c>
      <c r="C12" s="25">
        <v>2</v>
      </c>
      <c r="D12" s="26">
        <v>3</v>
      </c>
      <c r="E12" s="26">
        <v>5</v>
      </c>
      <c r="F12" s="27">
        <f>(C12+D12*4+E12)/6</f>
        <v>3.1666666666666665</v>
      </c>
    </row>
    <row r="13" spans="2:6" x14ac:dyDescent="0.25">
      <c r="B13" s="28" t="s">
        <v>88</v>
      </c>
      <c r="C13" s="25">
        <v>1</v>
      </c>
      <c r="D13" s="26">
        <v>1</v>
      </c>
      <c r="E13" s="26">
        <v>2</v>
      </c>
      <c r="F13" s="27">
        <f>(C13+D13*4+E13)/6</f>
        <v>1.1666666666666667</v>
      </c>
    </row>
    <row r="14" spans="2:6" x14ac:dyDescent="0.25">
      <c r="B14" s="29" t="s">
        <v>89</v>
      </c>
      <c r="C14" s="21"/>
      <c r="D14" s="22"/>
      <c r="E14" s="22"/>
      <c r="F14" s="30"/>
    </row>
    <row r="15" spans="2:6" x14ac:dyDescent="0.25">
      <c r="B15" s="28" t="s">
        <v>90</v>
      </c>
      <c r="C15" s="25">
        <v>1</v>
      </c>
      <c r="D15" s="26">
        <v>1</v>
      </c>
      <c r="E15" s="26">
        <v>2</v>
      </c>
      <c r="F15" s="27">
        <f t="shared" ref="F15:F21" si="0">(C15+D15*4+E15)/6</f>
        <v>1.1666666666666667</v>
      </c>
    </row>
    <row r="16" spans="2:6" x14ac:dyDescent="0.25">
      <c r="B16" s="28" t="s">
        <v>91</v>
      </c>
      <c r="C16" s="25">
        <v>2</v>
      </c>
      <c r="D16" s="26">
        <v>3</v>
      </c>
      <c r="E16" s="26">
        <v>5</v>
      </c>
      <c r="F16" s="27">
        <f t="shared" si="0"/>
        <v>3.1666666666666665</v>
      </c>
    </row>
    <row r="17" spans="2:6" x14ac:dyDescent="0.25">
      <c r="B17" s="28" t="s">
        <v>92</v>
      </c>
      <c r="C17" s="25">
        <v>2</v>
      </c>
      <c r="D17" s="26">
        <v>2</v>
      </c>
      <c r="E17" s="26">
        <v>4</v>
      </c>
      <c r="F17" s="27">
        <f t="shared" si="0"/>
        <v>2.3333333333333335</v>
      </c>
    </row>
    <row r="18" spans="2:6" x14ac:dyDescent="0.25">
      <c r="B18" s="28" t="s">
        <v>93</v>
      </c>
      <c r="C18" s="25">
        <v>2</v>
      </c>
      <c r="D18" s="26">
        <v>2</v>
      </c>
      <c r="E18" s="26">
        <v>4</v>
      </c>
      <c r="F18" s="27">
        <f t="shared" si="0"/>
        <v>2.3333333333333335</v>
      </c>
    </row>
    <row r="19" spans="2:6" x14ac:dyDescent="0.25">
      <c r="B19" s="28" t="s">
        <v>94</v>
      </c>
      <c r="C19" s="25">
        <v>3</v>
      </c>
      <c r="D19" s="26">
        <v>4</v>
      </c>
      <c r="E19" s="26">
        <v>7</v>
      </c>
      <c r="F19" s="27">
        <f t="shared" si="0"/>
        <v>4.333333333333333</v>
      </c>
    </row>
    <row r="20" spans="2:6" x14ac:dyDescent="0.25">
      <c r="B20" s="28" t="s">
        <v>95</v>
      </c>
      <c r="C20" s="25">
        <v>2</v>
      </c>
      <c r="D20" s="26">
        <v>3</v>
      </c>
      <c r="E20" s="26">
        <v>5</v>
      </c>
      <c r="F20" s="27">
        <f t="shared" si="0"/>
        <v>3.1666666666666665</v>
      </c>
    </row>
    <row r="21" spans="2:6" x14ac:dyDescent="0.25">
      <c r="B21" s="28" t="s">
        <v>96</v>
      </c>
      <c r="C21" s="25">
        <v>1</v>
      </c>
      <c r="D21" s="26">
        <v>1</v>
      </c>
      <c r="E21" s="26">
        <v>2</v>
      </c>
      <c r="F21" s="27">
        <f t="shared" si="0"/>
        <v>1.1666666666666667</v>
      </c>
    </row>
    <row r="22" spans="2:6" x14ac:dyDescent="0.25">
      <c r="B22" s="29" t="s">
        <v>97</v>
      </c>
      <c r="C22" s="21"/>
      <c r="D22" s="22"/>
      <c r="E22" s="22"/>
      <c r="F22" s="30"/>
    </row>
    <row r="23" spans="2:6" x14ac:dyDescent="0.25">
      <c r="B23" s="28" t="s">
        <v>98</v>
      </c>
      <c r="C23" s="25">
        <v>1</v>
      </c>
      <c r="D23" s="26">
        <v>1</v>
      </c>
      <c r="E23" s="26">
        <v>2</v>
      </c>
      <c r="F23" s="27">
        <f t="shared" ref="F23:F28" si="1">(C23+D23*4+E23)/6</f>
        <v>1.1666666666666667</v>
      </c>
    </row>
    <row r="24" spans="2:6" x14ac:dyDescent="0.25">
      <c r="B24" s="28" t="s">
        <v>99</v>
      </c>
      <c r="C24" s="25">
        <v>1</v>
      </c>
      <c r="D24" s="26">
        <v>2</v>
      </c>
      <c r="E24" s="26">
        <v>3</v>
      </c>
      <c r="F24" s="27">
        <f t="shared" si="1"/>
        <v>2</v>
      </c>
    </row>
    <row r="25" spans="2:6" x14ac:dyDescent="0.25">
      <c r="B25" s="28" t="s">
        <v>100</v>
      </c>
      <c r="C25" s="25">
        <v>1</v>
      </c>
      <c r="D25" s="26">
        <v>2</v>
      </c>
      <c r="E25" s="26">
        <v>3</v>
      </c>
      <c r="F25" s="27">
        <f t="shared" si="1"/>
        <v>2</v>
      </c>
    </row>
    <row r="26" spans="2:6" x14ac:dyDescent="0.25">
      <c r="B26" s="28" t="s">
        <v>101</v>
      </c>
      <c r="C26" s="25">
        <v>1</v>
      </c>
      <c r="D26" s="26">
        <v>2</v>
      </c>
      <c r="E26" s="26">
        <v>3</v>
      </c>
      <c r="F26" s="27">
        <f t="shared" si="1"/>
        <v>2</v>
      </c>
    </row>
    <row r="27" spans="2:6" x14ac:dyDescent="0.25">
      <c r="B27" s="28" t="s">
        <v>102</v>
      </c>
      <c r="C27" s="25">
        <v>2</v>
      </c>
      <c r="D27" s="26">
        <v>3</v>
      </c>
      <c r="E27" s="26">
        <v>6</v>
      </c>
      <c r="F27" s="27">
        <f t="shared" si="1"/>
        <v>3.3333333333333335</v>
      </c>
    </row>
    <row r="28" spans="2:6" x14ac:dyDescent="0.25">
      <c r="B28" s="28" t="s">
        <v>103</v>
      </c>
      <c r="C28" s="25">
        <v>1</v>
      </c>
      <c r="D28" s="26">
        <v>2</v>
      </c>
      <c r="E28" s="26">
        <v>4</v>
      </c>
      <c r="F28" s="27">
        <f t="shared" si="1"/>
        <v>2.1666666666666665</v>
      </c>
    </row>
    <row r="29" spans="2:6" x14ac:dyDescent="0.25">
      <c r="B29" s="29" t="s">
        <v>104</v>
      </c>
      <c r="C29" s="21"/>
      <c r="D29" s="22"/>
      <c r="E29" s="22"/>
      <c r="F29" s="30"/>
    </row>
    <row r="30" spans="2:6" x14ac:dyDescent="0.25">
      <c r="B30" s="28" t="s">
        <v>105</v>
      </c>
      <c r="C30" s="25">
        <v>1</v>
      </c>
      <c r="D30" s="26">
        <v>1</v>
      </c>
      <c r="E30" s="26">
        <v>2</v>
      </c>
      <c r="F30" s="27">
        <f t="shared" ref="F30:F37" si="2">(C30+D30*4+E30)/6</f>
        <v>1.1666666666666667</v>
      </c>
    </row>
    <row r="31" spans="2:6" ht="15" customHeight="1" x14ac:dyDescent="0.25">
      <c r="B31" s="28" t="s">
        <v>106</v>
      </c>
      <c r="C31" s="25">
        <v>1</v>
      </c>
      <c r="D31" s="26">
        <v>2</v>
      </c>
      <c r="E31" s="26">
        <v>3</v>
      </c>
      <c r="F31" s="27">
        <f t="shared" si="2"/>
        <v>2</v>
      </c>
    </row>
    <row r="32" spans="2:6" x14ac:dyDescent="0.25">
      <c r="B32" s="28" t="s">
        <v>107</v>
      </c>
      <c r="C32" s="25">
        <v>1</v>
      </c>
      <c r="D32" s="26">
        <v>2</v>
      </c>
      <c r="E32" s="26">
        <v>3</v>
      </c>
      <c r="F32" s="27">
        <f t="shared" si="2"/>
        <v>2</v>
      </c>
    </row>
    <row r="33" spans="2:6" x14ac:dyDescent="0.25">
      <c r="B33" s="28" t="s">
        <v>108</v>
      </c>
      <c r="C33" s="25">
        <v>1</v>
      </c>
      <c r="D33" s="26">
        <v>2</v>
      </c>
      <c r="E33" s="26">
        <v>3</v>
      </c>
      <c r="F33" s="27">
        <f t="shared" si="2"/>
        <v>2</v>
      </c>
    </row>
    <row r="34" spans="2:6" x14ac:dyDescent="0.25">
      <c r="B34" s="28" t="s">
        <v>109</v>
      </c>
      <c r="C34" s="25">
        <v>1</v>
      </c>
      <c r="D34" s="26">
        <v>2</v>
      </c>
      <c r="E34" s="26">
        <v>4</v>
      </c>
      <c r="F34" s="27">
        <f t="shared" si="2"/>
        <v>2.1666666666666665</v>
      </c>
    </row>
    <row r="35" spans="2:6" x14ac:dyDescent="0.25">
      <c r="B35" s="29" t="s">
        <v>110</v>
      </c>
      <c r="C35" s="21"/>
      <c r="D35" s="22"/>
      <c r="E35" s="22"/>
      <c r="F35" s="30"/>
    </row>
    <row r="36" spans="2:6" x14ac:dyDescent="0.25">
      <c r="B36" s="28" t="s">
        <v>111</v>
      </c>
      <c r="C36" s="25">
        <v>1</v>
      </c>
      <c r="D36" s="26">
        <v>2</v>
      </c>
      <c r="E36" s="26">
        <v>4</v>
      </c>
      <c r="F36" s="27">
        <f t="shared" si="2"/>
        <v>2.1666666666666665</v>
      </c>
    </row>
    <row r="37" spans="2:6" ht="15.75" thickBot="1" x14ac:dyDescent="0.3">
      <c r="B37" s="42" t="s">
        <v>112</v>
      </c>
      <c r="C37" s="43">
        <v>2</v>
      </c>
      <c r="D37" s="44">
        <v>3</v>
      </c>
      <c r="E37" s="44">
        <v>5</v>
      </c>
      <c r="F37" s="27">
        <f t="shared" si="2"/>
        <v>3.1666666666666665</v>
      </c>
    </row>
    <row r="38" spans="2:6" x14ac:dyDescent="0.25">
      <c r="B38" s="45" t="s">
        <v>113</v>
      </c>
      <c r="C38" s="46">
        <f>SUM(C4:C37)</f>
        <v>40</v>
      </c>
      <c r="D38" s="46">
        <f>SUM(D4:D37)</f>
        <v>61</v>
      </c>
      <c r="E38" s="46">
        <f>SUM(E4:E37)</f>
        <v>105</v>
      </c>
      <c r="F38" s="47">
        <f>SUM(F4:F37)</f>
        <v>64.833333333333329</v>
      </c>
    </row>
    <row r="40" spans="2:6" x14ac:dyDescent="0.25">
      <c r="B40" s="48" t="s">
        <v>114</v>
      </c>
    </row>
  </sheetData>
  <pageMargins left="0.7" right="0.7" top="0.75" bottom="0.75" header="0.3" footer="0.3"/>
  <pageSetup paperSize="8"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E9D38-BB5D-4FD5-AD52-4B16F188E11C}">
  <dimension ref="B2:F8"/>
  <sheetViews>
    <sheetView zoomScale="98" zoomScaleNormal="100" workbookViewId="0">
      <selection activeCell="E16" sqref="E16"/>
    </sheetView>
  </sheetViews>
  <sheetFormatPr baseColWidth="10" defaultColWidth="8.7109375" defaultRowHeight="18.75" x14ac:dyDescent="0.3"/>
  <cols>
    <col min="1" max="1" width="10.85546875" style="65" customWidth="1"/>
    <col min="2" max="2" width="37.42578125" style="65" bestFit="1" customWidth="1"/>
    <col min="3" max="3" width="37.85546875" style="65" bestFit="1" customWidth="1"/>
    <col min="4" max="4" width="12.7109375" style="65" bestFit="1" customWidth="1"/>
    <col min="5" max="5" width="28" style="65" customWidth="1"/>
    <col min="6" max="6" width="14.42578125" style="65" bestFit="1" customWidth="1"/>
    <col min="7" max="16384" width="8.7109375" style="65"/>
  </cols>
  <sheetData>
    <row r="2" spans="2:6" x14ac:dyDescent="0.3">
      <c r="B2" s="64" t="s">
        <v>24</v>
      </c>
      <c r="C2" s="64"/>
      <c r="D2" s="64"/>
      <c r="E2" s="64"/>
      <c r="F2" s="64"/>
    </row>
    <row r="3" spans="2:6" ht="15" customHeight="1" x14ac:dyDescent="0.3">
      <c r="B3" s="66" t="s">
        <v>23</v>
      </c>
      <c r="C3" s="66" t="s">
        <v>22</v>
      </c>
      <c r="D3" s="66" t="s">
        <v>21</v>
      </c>
      <c r="E3" s="66" t="s">
        <v>20</v>
      </c>
      <c r="F3" s="66" t="s">
        <v>19</v>
      </c>
    </row>
    <row r="4" spans="2:6" ht="15" customHeight="1" x14ac:dyDescent="0.3">
      <c r="B4" s="67" t="s">
        <v>18</v>
      </c>
      <c r="C4" s="67" t="s">
        <v>17</v>
      </c>
      <c r="D4" s="67" t="s">
        <v>16</v>
      </c>
      <c r="E4" s="68" t="s">
        <v>15</v>
      </c>
      <c r="F4" s="69" t="s">
        <v>14</v>
      </c>
    </row>
    <row r="5" spans="2:6" ht="37.5" x14ac:dyDescent="0.3">
      <c r="B5" s="67" t="s">
        <v>13</v>
      </c>
      <c r="C5" s="67" t="s">
        <v>12</v>
      </c>
      <c r="D5" s="67" t="s">
        <v>11</v>
      </c>
      <c r="E5" s="70">
        <v>70</v>
      </c>
      <c r="F5" s="71">
        <v>70</v>
      </c>
    </row>
    <row r="6" spans="2:6" ht="37.5" x14ac:dyDescent="0.3">
      <c r="B6" s="67" t="s">
        <v>10</v>
      </c>
      <c r="C6" s="67" t="s">
        <v>9</v>
      </c>
      <c r="D6" s="67" t="s">
        <v>4</v>
      </c>
      <c r="E6" s="68" t="s">
        <v>8</v>
      </c>
      <c r="F6" s="67" t="s">
        <v>7</v>
      </c>
    </row>
    <row r="7" spans="2:6" ht="56.25" x14ac:dyDescent="0.3">
      <c r="B7" s="67" t="s">
        <v>6</v>
      </c>
      <c r="C7" s="67" t="s">
        <v>5</v>
      </c>
      <c r="D7" s="67" t="s">
        <v>4</v>
      </c>
      <c r="E7" s="68" t="s">
        <v>3</v>
      </c>
      <c r="F7" s="67" t="s">
        <v>2</v>
      </c>
    </row>
    <row r="8" spans="2:6" x14ac:dyDescent="0.3">
      <c r="B8" s="72" t="s">
        <v>1</v>
      </c>
      <c r="C8" s="72"/>
      <c r="D8" s="72"/>
      <c r="E8" s="73"/>
      <c r="F8" s="72" t="s">
        <v>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8"/>
  <sheetViews>
    <sheetView workbookViewId="0">
      <selection activeCell="L5" sqref="L5"/>
    </sheetView>
  </sheetViews>
  <sheetFormatPr baseColWidth="10" defaultColWidth="9.140625" defaultRowHeight="15" x14ac:dyDescent="0.25"/>
  <cols>
    <col min="2" max="2" width="19.85546875" customWidth="1"/>
    <col min="3" max="3" width="19.7109375" customWidth="1"/>
    <col min="4" max="4" width="8.85546875" bestFit="1" customWidth="1"/>
    <col min="5" max="5" width="20.140625" bestFit="1" customWidth="1"/>
    <col min="6" max="6" width="14.42578125" bestFit="1" customWidth="1"/>
    <col min="7" max="7" width="27.7109375" customWidth="1"/>
  </cols>
  <sheetData>
    <row r="2" spans="2:7" ht="18.75" x14ac:dyDescent="0.3">
      <c r="B2" s="63" t="s">
        <v>132</v>
      </c>
      <c r="C2" s="63"/>
      <c r="D2" s="63"/>
      <c r="E2" s="63"/>
      <c r="F2" s="63"/>
      <c r="G2" s="63"/>
    </row>
    <row r="3" spans="2:7" ht="15.75" thickBot="1" x14ac:dyDescent="0.3"/>
    <row r="4" spans="2:7" ht="30.75" thickBot="1" x14ac:dyDescent="0.3">
      <c r="B4" s="53" t="s">
        <v>23</v>
      </c>
      <c r="C4" s="54" t="s">
        <v>115</v>
      </c>
      <c r="D4" s="54" t="s">
        <v>21</v>
      </c>
      <c r="E4" s="54" t="s">
        <v>116</v>
      </c>
      <c r="F4" s="54" t="s">
        <v>19</v>
      </c>
      <c r="G4" s="54" t="s">
        <v>117</v>
      </c>
    </row>
    <row r="5" spans="2:7" ht="90.75" thickBot="1" x14ac:dyDescent="0.3">
      <c r="B5" s="60" t="s">
        <v>118</v>
      </c>
      <c r="C5" s="55" t="s">
        <v>119</v>
      </c>
      <c r="D5" s="55">
        <v>1</v>
      </c>
      <c r="E5" s="55" t="s">
        <v>120</v>
      </c>
      <c r="F5" s="57">
        <v>200</v>
      </c>
      <c r="G5" s="61" t="s">
        <v>121</v>
      </c>
    </row>
    <row r="6" spans="2:7" ht="75.75" thickBot="1" x14ac:dyDescent="0.3">
      <c r="B6" s="62" t="s">
        <v>122</v>
      </c>
      <c r="C6" s="56" t="s">
        <v>123</v>
      </c>
      <c r="D6" s="56">
        <v>1</v>
      </c>
      <c r="E6" s="56" t="s">
        <v>124</v>
      </c>
      <c r="F6" s="58">
        <v>22</v>
      </c>
      <c r="G6" s="56" t="s">
        <v>125</v>
      </c>
    </row>
    <row r="7" spans="2:7" ht="75.75" thickBot="1" x14ac:dyDescent="0.3">
      <c r="B7" s="60" t="s">
        <v>126</v>
      </c>
      <c r="C7" s="55" t="s">
        <v>127</v>
      </c>
      <c r="D7" s="55">
        <v>4</v>
      </c>
      <c r="E7" s="55" t="s">
        <v>128</v>
      </c>
      <c r="F7" s="57">
        <v>44</v>
      </c>
      <c r="G7" s="61" t="s">
        <v>129</v>
      </c>
    </row>
    <row r="8" spans="2:7" ht="15.75" thickBot="1" x14ac:dyDescent="0.3">
      <c r="B8" s="62" t="s">
        <v>130</v>
      </c>
      <c r="C8" s="56" t="s">
        <v>131</v>
      </c>
      <c r="D8" s="56" t="s">
        <v>131</v>
      </c>
      <c r="E8" s="56" t="s">
        <v>131</v>
      </c>
      <c r="F8" s="59">
        <v>266</v>
      </c>
      <c r="G8" s="56" t="s">
        <v>131</v>
      </c>
    </row>
  </sheetData>
  <mergeCells count="1">
    <mergeCell ref="B2:G2"/>
  </mergeCells>
  <hyperlinks>
    <hyperlink ref="G5" r:id="rId1" display="https://www.amazon.es/TP-Link-Archer-AX6000-Quad-Core-co-procesadores/dp/B07PXTG7R9" xr:uid="{2B7E9C10-B686-486D-8A1F-0AC2CB059848}"/>
    <hyperlink ref="G7" r:id="rId2" display="https://www.amazon.es/Ethernet-Velocidad-Internet-conector-Compatible/dp/B09X2MK5YM" xr:uid="{47562957-8BE1-4B80-818B-B9FFFA12B2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</vt:lpstr>
      <vt:lpstr>ESTIMACION TEMPORAL</vt:lpstr>
      <vt:lpstr>Gestión de recursos y seguridad</vt:lpstr>
      <vt:lpstr>Diseño Logico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Morató Romero</dc:creator>
  <cp:lastModifiedBy>MORATO ROMERO, JOSE MANUEL</cp:lastModifiedBy>
  <dcterms:created xsi:type="dcterms:W3CDTF">2015-06-05T18:19:34Z</dcterms:created>
  <dcterms:modified xsi:type="dcterms:W3CDTF">2026-06-14T14:47:26Z</dcterms:modified>
</cp:coreProperties>
</file>